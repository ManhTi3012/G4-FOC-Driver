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G4-FOC-Driver\"/>
    </mc:Choice>
  </mc:AlternateContent>
  <xr:revisionPtr revIDLastSave="0" documentId="13_ncr:1_{5A97C9B4-CD21-48F4-B12D-EF692035755E}" xr6:coauthVersionLast="47" xr6:coauthVersionMax="47" xr10:uidLastSave="{00000000-0000-0000-0000-000000000000}"/>
  <bookViews>
    <workbookView xWindow="-120" yWindow="-120" windowWidth="29040" windowHeight="15840" xr2:uid="{2B5FD5E9-492F-4082-9D25-121458D2C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2" i="1" l="1"/>
  <c r="J32" i="1"/>
  <c r="I36" i="1"/>
  <c r="J36" i="1"/>
  <c r="I37" i="1"/>
  <c r="J37" i="1"/>
  <c r="I38" i="1"/>
  <c r="J38" i="1"/>
  <c r="I39" i="1"/>
  <c r="J39" i="1"/>
  <c r="I40" i="1"/>
  <c r="J40" i="1"/>
  <c r="I35" i="1"/>
  <c r="J35" i="1"/>
  <c r="I34" i="1"/>
  <c r="J34" i="1"/>
  <c r="I33" i="1"/>
  <c r="J33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M5" i="1" a="1"/>
  <c r="M5" i="1" s="1"/>
  <c r="J2" i="1"/>
  <c r="I2" i="1"/>
  <c r="M3" i="1" l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<sst xmlns="http://schemas.openxmlformats.org/spreadsheetml/2006/main" count="131" uniqueCount="78">
  <si>
    <t>COST PER DEVICE</t>
  </si>
  <si>
    <t xml:space="preserve">BULK COST </t>
  </si>
  <si>
    <t>TOTAL COST</t>
  </si>
  <si>
    <t>TOTAL COST PER DEVICE</t>
  </si>
  <si>
    <t>10uF</t>
  </si>
  <si>
    <t>100nF</t>
  </si>
  <si>
    <t>LED_Small</t>
  </si>
  <si>
    <t>1K</t>
  </si>
  <si>
    <t>10K</t>
  </si>
  <si>
    <t>NUMBER OF DEVICEs</t>
  </si>
  <si>
    <t>MINIMUM COST</t>
  </si>
  <si>
    <t>B5819WS</t>
  </si>
  <si>
    <t>Qty</t>
  </si>
  <si>
    <t>Value</t>
  </si>
  <si>
    <t>DNP</t>
  </si>
  <si>
    <t>Footprint</t>
  </si>
  <si>
    <t>Capacitor_SMD:C_0603_1608Metric</t>
  </si>
  <si>
    <t>1uF</t>
  </si>
  <si>
    <t>Capacitor_SMD:C_0805_2012Metric</t>
  </si>
  <si>
    <t>LED_SMD:LED_0603_1608Metric</t>
  </si>
  <si>
    <t>Resistor_SMD:R_0603_1608Metric</t>
  </si>
  <si>
    <t>#</t>
  </si>
  <si>
    <t>Pack Price</t>
  </si>
  <si>
    <t>Pack Size</t>
  </si>
  <si>
    <t>CNY to VND</t>
  </si>
  <si>
    <t>Currency</t>
  </si>
  <si>
    <t>CNY</t>
  </si>
  <si>
    <t>22uF</t>
  </si>
  <si>
    <t>Capacitor_SMD:C_1206_3216Metric</t>
  </si>
  <si>
    <t>470pF</t>
  </si>
  <si>
    <t>Diode_SMD:D_0805_2012Metric</t>
  </si>
  <si>
    <t>Inductor_SMD:L_APV_ANR4020</t>
  </si>
  <si>
    <t>47R</t>
  </si>
  <si>
    <t>Package_DFN_QFN:PQFN-8-EP_6x5mm_P1.27mm_Generic</t>
  </si>
  <si>
    <t>470K</t>
  </si>
  <si>
    <t>56K</t>
  </si>
  <si>
    <t>120R</t>
  </si>
  <si>
    <t>TCAN1044V</t>
  </si>
  <si>
    <t>Package_SON:Texas_S-PVSON-N8_ThermalVias</t>
  </si>
  <si>
    <t>STM32G431RBTx</t>
  </si>
  <si>
    <t>Package_QFP:LQFP-64_10x10mm_P0.5mm</t>
  </si>
  <si>
    <t>MIC5219-3.3YM5</t>
  </si>
  <si>
    <t>Package_TO_SOT_SMD:SOT-23-5</t>
  </si>
  <si>
    <t>47nF</t>
  </si>
  <si>
    <t>NMOS-8PINS</t>
  </si>
  <si>
    <t>Resistor_SMD:R_2512_6332Metric</t>
  </si>
  <si>
    <t>MT6826SGT</t>
  </si>
  <si>
    <t>Package_SO:TSSOP-16_4.4x5mm_P0.65mm</t>
  </si>
  <si>
    <t>TPS54240DGQ</t>
  </si>
  <si>
    <t>Package_SO:HVSSOP-10-1EP_3x3mm_P0.5mm_EP1.57x1.88mm_ThermalVias</t>
  </si>
  <si>
    <t>Resonator</t>
  </si>
  <si>
    <t>Crystal:Resonator_SMD_Murata_CSTxExxV-3Pin_3.0x1.1mm</t>
  </si>
  <si>
    <t>47uF</t>
  </si>
  <si>
    <t>Capacitor_SMD:CP_Elec_6.3x5.9</t>
  </si>
  <si>
    <t>2.2nF</t>
  </si>
  <si>
    <t>D_TVS</t>
  </si>
  <si>
    <t>Diode_SMD:D_SMB</t>
  </si>
  <si>
    <t>LED_RBAG</t>
  </si>
  <si>
    <t>LED_SMD:LED_Cree-PLCC4_2x2mm_CW</t>
  </si>
  <si>
    <t>FerriteBead</t>
  </si>
  <si>
    <t>Inductor_SMD:L_0603_1608Metric</t>
  </si>
  <si>
    <t>SPI</t>
  </si>
  <si>
    <t>Connector_JST:JST_GH_SM06B-GHS-TB_1x06-1MP_P1.25mm_Horizontal</t>
  </si>
  <si>
    <t>XT30PW_2_2_-M.G.B</t>
  </si>
  <si>
    <t>XT30PW_2_2_-M.G.B:AMASS_XT30PW_2_2_-M.G.B</t>
  </si>
  <si>
    <t>COMMS</t>
  </si>
  <si>
    <t>Connector_JST:JST_GH_SM08B-GHS-TB_1x08-1MP_P1.25mm_Horizontal</t>
  </si>
  <si>
    <t>47uH</t>
  </si>
  <si>
    <t>237K</t>
  </si>
  <si>
    <t>52.3K</t>
  </si>
  <si>
    <t>2mR</t>
  </si>
  <si>
    <t>4.7K</t>
  </si>
  <si>
    <t>56R</t>
  </si>
  <si>
    <t>Resistor_SMD:R_Array_Convex_4x0402</t>
  </si>
  <si>
    <t>Thermistor_NTC</t>
  </si>
  <si>
    <t>DRV8323SRTAT</t>
  </si>
  <si>
    <t>DRV8323SRTAT:RTA0040B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</si>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</sst>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2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1E80-C1A3-459D-B215-1E5DD3EB7B2B}">
  <dimension ref="A1:O40"/>
  <sheetViews>
    <sheetView tabSelected="1" workbookViewId="0">
      <selection activeCell="G42" sqref="G42"/>
    </sheetView>
  </sheetViews>
  <sheetFormatPr defaultRowHeight="14.25"/>
  <cols>
    <col min="1" max="1" width="5.75" customWidth="1"/>
    <col min="2" max="2" width="16.125" customWidth="1"/>
    <col min="3" max="3" width="14.375" customWidth="1"/>
    <col min="4" max="4" width="8.25" customWidth="1"/>
    <col min="5" max="5" width="29.125" customWidth="1"/>
    <col min="6" max="9" width="20.25" customWidth="1"/>
    <col min="10" max="10" width="19.75" customWidth="1"/>
    <col min="11" max="11" width="9" customWidth="1"/>
    <col min="12" max="12" width="23.625" customWidth="1"/>
  </cols>
  <sheetData>
    <row r="1" spans="1:15">
      <c r="A1" t="s">
        <v>21</v>
      </c>
      <c r="B1" t="s">
        <v>13</v>
      </c>
      <c r="C1" t="s">
        <v>12</v>
      </c>
      <c r="D1" t="s">
        <v>14</v>
      </c>
      <c r="E1" t="s">
        <v>15</v>
      </c>
      <c r="F1" s="5" t="s">
        <v>23</v>
      </c>
      <c r="G1" s="5" t="s">
        <v>22</v>
      </c>
      <c r="H1" s="5" t="s">
        <v>25</v>
      </c>
      <c r="I1" t="s">
        <v>0</v>
      </c>
      <c r="J1" t="s">
        <v>1</v>
      </c>
      <c r="L1" s="1" t="s">
        <v>24</v>
      </c>
      <c r="M1" s="1">
        <v>3.9</v>
      </c>
    </row>
    <row r="2" spans="1:15">
      <c r="A2">
        <v>1</v>
      </c>
      <c r="B2" t="s">
        <v>43</v>
      </c>
      <c r="C2">
        <v>1</v>
      </c>
      <c r="E2" t="s">
        <v>16</v>
      </c>
      <c r="F2">
        <v>100</v>
      </c>
      <c r="G2">
        <v>3</v>
      </c>
      <c r="H2" t="s">
        <v>26</v>
      </c>
      <c r="I2">
        <f>IF(OR(D2="DNP", F2=0, F2=""), "", C2 / F2 * IF(H2="CNY", G2*$M$1, G2))</f>
        <v>0.11699999999999999</v>
      </c>
      <c r="J2">
        <f>IF(OR(D2="DNP", F2=0, F2=""), "", CEILING(C2/F2,1)* IF(H2="CNY", G2*$M$1, G2))</f>
        <v>11.7</v>
      </c>
      <c r="L2" s="3" t="s">
        <v>3</v>
      </c>
      <c r="M2" s="3">
        <f>SUM(I:I)</f>
        <v>258.00100000000003</v>
      </c>
    </row>
    <row r="3" spans="1:15">
      <c r="A3">
        <v>2</v>
      </c>
      <c r="B3" t="s">
        <v>4</v>
      </c>
      <c r="C3">
        <v>18</v>
      </c>
      <c r="E3" t="s">
        <v>28</v>
      </c>
      <c r="F3">
        <v>100</v>
      </c>
      <c r="G3">
        <v>15</v>
      </c>
      <c r="H3" t="s">
        <v>26</v>
      </c>
      <c r="I3">
        <f t="shared" ref="I3:I32" si="0">IF(OR(D3="DNP", F3=0, F3=""), "", C3 / F3 * IF(H3="CNY", G3*$M$1, G3))</f>
        <v>10.53</v>
      </c>
      <c r="J3">
        <f t="shared" ref="J3:J32" si="1">IF(OR(D3="DNP", F3=0, F3=""), "", CEILING(C3/F3,1)* IF(H3="CNY", G3*$M$1, G3))</f>
        <v>58.5</v>
      </c>
      <c r="L3" s="2" t="s">
        <v>10</v>
      </c>
      <c r="M3" s="2">
        <f>SUM(J:J)</f>
        <v>1325.7999999999995</v>
      </c>
    </row>
    <row r="4" spans="1:15">
      <c r="A4">
        <v>3</v>
      </c>
      <c r="B4" t="s">
        <v>17</v>
      </c>
      <c r="C4">
        <v>3</v>
      </c>
      <c r="E4" t="s">
        <v>16</v>
      </c>
      <c r="F4">
        <v>100</v>
      </c>
      <c r="G4">
        <v>3</v>
      </c>
      <c r="H4" t="s">
        <v>26</v>
      </c>
      <c r="I4">
        <f t="shared" si="0"/>
        <v>0.35099999999999998</v>
      </c>
      <c r="J4">
        <f t="shared" si="1"/>
        <v>11.7</v>
      </c>
      <c r="L4" s="4" t="s">
        <v>9</v>
      </c>
      <c r="M4" s="4">
        <v>5</v>
      </c>
      <c r="N4" s="5"/>
      <c r="O4" s="5"/>
    </row>
    <row r="5" spans="1:15">
      <c r="A5">
        <v>4</v>
      </c>
      <c r="B5" t="s">
        <v>5</v>
      </c>
      <c r="C5">
        <v>20</v>
      </c>
      <c r="E5" t="s">
        <v>16</v>
      </c>
      <c r="F5">
        <v>100</v>
      </c>
      <c r="G5">
        <v>3</v>
      </c>
      <c r="H5" t="s">
        <v>26</v>
      </c>
      <c r="I5">
        <f t="shared" si="0"/>
        <v>2.34</v>
      </c>
      <c r="J5">
        <f t="shared" si="1"/>
        <v>11.7</v>
      </c>
      <c r="L5" s="1" t="s">
        <v>2</v>
      </c>
      <c r="M5" s="1" cm="1">
        <f t="array" ref="M5">SUMPRODUCT(
  IF(
    (F2:F97&lt;&gt;0)*(F2:F97&lt;&gt;"")*(D2:D97&lt;&gt;"DNP"),
    CEILING(C2:C97 * M4 / F2:F97, 1) * IF(H2:H97="CNY", G2:G97 * M1, G2:G97),
    0
  )
)</f>
        <v>1988.7999999999997</v>
      </c>
      <c r="N5" s="5"/>
      <c r="O5" s="5"/>
    </row>
    <row r="6" spans="1:15">
      <c r="A6">
        <v>5</v>
      </c>
      <c r="B6" t="s">
        <v>4</v>
      </c>
      <c r="C6">
        <v>2</v>
      </c>
      <c r="E6" t="s">
        <v>16</v>
      </c>
      <c r="F6">
        <v>100</v>
      </c>
      <c r="G6">
        <v>5</v>
      </c>
      <c r="H6" t="s">
        <v>26</v>
      </c>
      <c r="I6">
        <f t="shared" si="0"/>
        <v>0.39</v>
      </c>
      <c r="J6">
        <f t="shared" si="1"/>
        <v>19.5</v>
      </c>
    </row>
    <row r="7" spans="1:15">
      <c r="A7">
        <v>6</v>
      </c>
      <c r="B7" t="s">
        <v>29</v>
      </c>
      <c r="C7">
        <v>1</v>
      </c>
      <c r="E7" t="s">
        <v>16</v>
      </c>
      <c r="F7">
        <v>100</v>
      </c>
      <c r="G7">
        <v>5</v>
      </c>
      <c r="H7" t="s">
        <v>26</v>
      </c>
      <c r="I7">
        <f t="shared" si="0"/>
        <v>0.19500000000000001</v>
      </c>
      <c r="J7">
        <f t="shared" si="1"/>
        <v>19.5</v>
      </c>
    </row>
    <row r="8" spans="1:15">
      <c r="A8">
        <v>7</v>
      </c>
      <c r="B8" t="s">
        <v>27</v>
      </c>
      <c r="C8">
        <v>5</v>
      </c>
      <c r="E8" t="s">
        <v>18</v>
      </c>
      <c r="F8">
        <v>100</v>
      </c>
      <c r="G8">
        <v>5</v>
      </c>
      <c r="H8" t="s">
        <v>26</v>
      </c>
      <c r="I8">
        <f t="shared" si="0"/>
        <v>0.97500000000000009</v>
      </c>
      <c r="J8">
        <f t="shared" si="1"/>
        <v>19.5</v>
      </c>
    </row>
    <row r="9" spans="1:15">
      <c r="A9">
        <v>8</v>
      </c>
      <c r="B9" t="s">
        <v>52</v>
      </c>
      <c r="C9">
        <v>3</v>
      </c>
      <c r="D9" t="s">
        <v>14</v>
      </c>
      <c r="E9" t="s">
        <v>53</v>
      </c>
      <c r="F9">
        <v>10</v>
      </c>
      <c r="G9">
        <v>6</v>
      </c>
      <c r="H9" t="s">
        <v>26</v>
      </c>
      <c r="I9" t="str">
        <f t="shared" si="0"/>
        <v/>
      </c>
      <c r="J9" t="str">
        <f t="shared" si="1"/>
        <v/>
      </c>
    </row>
    <row r="10" spans="1:15">
      <c r="A10">
        <v>9</v>
      </c>
      <c r="B10" t="s">
        <v>54</v>
      </c>
      <c r="C10">
        <v>3</v>
      </c>
      <c r="E10" t="s">
        <v>16</v>
      </c>
      <c r="F10">
        <v>100</v>
      </c>
      <c r="G10">
        <v>5</v>
      </c>
      <c r="H10" t="s">
        <v>26</v>
      </c>
      <c r="I10">
        <f t="shared" si="0"/>
        <v>0.58499999999999996</v>
      </c>
      <c r="J10">
        <f t="shared" si="1"/>
        <v>19.5</v>
      </c>
    </row>
    <row r="11" spans="1:15">
      <c r="A11">
        <v>10</v>
      </c>
      <c r="B11" t="s">
        <v>6</v>
      </c>
      <c r="C11">
        <v>1</v>
      </c>
      <c r="E11" t="s">
        <v>19</v>
      </c>
      <c r="F11">
        <v>300</v>
      </c>
      <c r="G11">
        <v>5</v>
      </c>
      <c r="H11" t="s">
        <v>26</v>
      </c>
      <c r="I11">
        <f t="shared" si="0"/>
        <v>6.5000000000000002E-2</v>
      </c>
      <c r="J11">
        <f t="shared" si="1"/>
        <v>19.5</v>
      </c>
    </row>
    <row r="12" spans="1:15">
      <c r="A12">
        <v>11</v>
      </c>
      <c r="B12" t="s">
        <v>55</v>
      </c>
      <c r="C12">
        <v>1</v>
      </c>
      <c r="E12" t="s">
        <v>56</v>
      </c>
      <c r="F12">
        <v>10</v>
      </c>
      <c r="G12">
        <v>6</v>
      </c>
      <c r="H12" t="s">
        <v>26</v>
      </c>
      <c r="I12">
        <f t="shared" si="0"/>
        <v>2.34</v>
      </c>
      <c r="J12">
        <f t="shared" si="1"/>
        <v>23.4</v>
      </c>
    </row>
    <row r="13" spans="1:15">
      <c r="A13">
        <v>12</v>
      </c>
      <c r="B13" t="s">
        <v>57</v>
      </c>
      <c r="C13">
        <v>1</v>
      </c>
      <c r="E13" t="s">
        <v>58</v>
      </c>
      <c r="F13">
        <v>100</v>
      </c>
      <c r="G13">
        <v>6</v>
      </c>
      <c r="H13" t="s">
        <v>26</v>
      </c>
      <c r="I13">
        <f t="shared" si="0"/>
        <v>0.23399999999999999</v>
      </c>
      <c r="J13">
        <f t="shared" si="1"/>
        <v>23.4</v>
      </c>
    </row>
    <row r="14" spans="1:15">
      <c r="A14">
        <v>13</v>
      </c>
      <c r="B14" t="s">
        <v>11</v>
      </c>
      <c r="C14">
        <v>1</v>
      </c>
      <c r="E14" t="s">
        <v>30</v>
      </c>
      <c r="F14">
        <v>200</v>
      </c>
      <c r="G14">
        <v>10</v>
      </c>
      <c r="H14" t="s">
        <v>26</v>
      </c>
      <c r="I14">
        <f t="shared" si="0"/>
        <v>0.19500000000000001</v>
      </c>
      <c r="J14">
        <f t="shared" si="1"/>
        <v>39</v>
      </c>
    </row>
    <row r="15" spans="1:15">
      <c r="A15">
        <v>14</v>
      </c>
      <c r="B15" t="s">
        <v>59</v>
      </c>
      <c r="C15">
        <v>1</v>
      </c>
      <c r="E15" t="s">
        <v>60</v>
      </c>
      <c r="F15">
        <v>100</v>
      </c>
      <c r="G15">
        <v>4</v>
      </c>
      <c r="H15" t="s">
        <v>26</v>
      </c>
      <c r="I15">
        <f t="shared" si="0"/>
        <v>0.156</v>
      </c>
      <c r="J15">
        <f t="shared" si="1"/>
        <v>15.6</v>
      </c>
    </row>
    <row r="16" spans="1:15">
      <c r="A16">
        <v>15</v>
      </c>
      <c r="B16" t="s">
        <v>61</v>
      </c>
      <c r="C16">
        <v>1</v>
      </c>
      <c r="E16" t="s">
        <v>62</v>
      </c>
      <c r="F16">
        <v>20</v>
      </c>
      <c r="G16">
        <v>30</v>
      </c>
      <c r="I16">
        <f t="shared" si="0"/>
        <v>1.5</v>
      </c>
      <c r="J16">
        <f t="shared" si="1"/>
        <v>30</v>
      </c>
    </row>
    <row r="17" spans="1:10">
      <c r="A17">
        <v>16</v>
      </c>
      <c r="B17" t="s">
        <v>63</v>
      </c>
      <c r="C17">
        <v>2</v>
      </c>
      <c r="E17" t="s">
        <v>64</v>
      </c>
      <c r="F17">
        <v>10</v>
      </c>
      <c r="G17">
        <v>40</v>
      </c>
      <c r="H17" t="s">
        <v>26</v>
      </c>
      <c r="I17">
        <f t="shared" si="0"/>
        <v>31.200000000000003</v>
      </c>
      <c r="J17">
        <f t="shared" si="1"/>
        <v>156</v>
      </c>
    </row>
    <row r="18" spans="1:10">
      <c r="A18">
        <v>17</v>
      </c>
      <c r="B18" t="s">
        <v>65</v>
      </c>
      <c r="C18">
        <v>1</v>
      </c>
      <c r="E18" t="s">
        <v>66</v>
      </c>
      <c r="F18">
        <v>20</v>
      </c>
      <c r="G18">
        <v>40</v>
      </c>
      <c r="I18">
        <f t="shared" si="0"/>
        <v>2</v>
      </c>
      <c r="J18">
        <f t="shared" si="1"/>
        <v>40</v>
      </c>
    </row>
    <row r="19" spans="1:10">
      <c r="A19">
        <v>18</v>
      </c>
      <c r="B19" t="s">
        <v>67</v>
      </c>
      <c r="C19">
        <v>1</v>
      </c>
      <c r="E19" t="s">
        <v>31</v>
      </c>
      <c r="F19">
        <v>10</v>
      </c>
      <c r="G19">
        <v>7</v>
      </c>
      <c r="H19" t="s">
        <v>26</v>
      </c>
      <c r="I19">
        <f t="shared" si="0"/>
        <v>2.7300000000000004</v>
      </c>
      <c r="J19">
        <f t="shared" si="1"/>
        <v>27.3</v>
      </c>
    </row>
    <row r="20" spans="1:10">
      <c r="A20">
        <v>19</v>
      </c>
      <c r="B20" t="s">
        <v>44</v>
      </c>
      <c r="C20">
        <v>6</v>
      </c>
      <c r="E20" t="s">
        <v>33</v>
      </c>
      <c r="F20">
        <v>150</v>
      </c>
      <c r="G20">
        <v>90</v>
      </c>
      <c r="H20" t="s">
        <v>26</v>
      </c>
      <c r="I20">
        <f t="shared" si="0"/>
        <v>14.040000000000001</v>
      </c>
      <c r="J20">
        <f t="shared" si="1"/>
        <v>351</v>
      </c>
    </row>
    <row r="21" spans="1:10">
      <c r="A21">
        <v>20</v>
      </c>
      <c r="B21" t="s">
        <v>35</v>
      </c>
      <c r="C21">
        <v>1</v>
      </c>
      <c r="E21" t="s">
        <v>20</v>
      </c>
      <c r="F21">
        <v>50</v>
      </c>
      <c r="G21">
        <v>1</v>
      </c>
      <c r="H21" t="s">
        <v>26</v>
      </c>
      <c r="I21">
        <f t="shared" si="0"/>
        <v>7.8E-2</v>
      </c>
      <c r="J21">
        <f t="shared" si="1"/>
        <v>3.9</v>
      </c>
    </row>
    <row r="22" spans="1:10">
      <c r="A22">
        <v>21</v>
      </c>
      <c r="B22" t="s">
        <v>34</v>
      </c>
      <c r="C22">
        <v>1</v>
      </c>
      <c r="E22" t="s">
        <v>20</v>
      </c>
      <c r="F22">
        <v>50</v>
      </c>
      <c r="G22">
        <v>1</v>
      </c>
      <c r="H22" t="s">
        <v>26</v>
      </c>
      <c r="I22">
        <f t="shared" si="0"/>
        <v>7.8E-2</v>
      </c>
      <c r="J22">
        <f t="shared" si="1"/>
        <v>3.9</v>
      </c>
    </row>
    <row r="23" spans="1:10">
      <c r="A23">
        <v>22</v>
      </c>
      <c r="B23" t="s">
        <v>68</v>
      </c>
      <c r="C23">
        <v>1</v>
      </c>
      <c r="E23" t="s">
        <v>20</v>
      </c>
      <c r="F23">
        <v>50</v>
      </c>
      <c r="G23">
        <v>1</v>
      </c>
      <c r="H23" t="s">
        <v>26</v>
      </c>
      <c r="I23">
        <f t="shared" si="0"/>
        <v>7.8E-2</v>
      </c>
      <c r="J23">
        <f t="shared" si="1"/>
        <v>3.9</v>
      </c>
    </row>
    <row r="24" spans="1:10">
      <c r="A24">
        <v>23</v>
      </c>
      <c r="B24" t="s">
        <v>69</v>
      </c>
      <c r="C24">
        <v>1</v>
      </c>
      <c r="E24" t="s">
        <v>20</v>
      </c>
      <c r="F24">
        <v>50</v>
      </c>
      <c r="G24">
        <v>1</v>
      </c>
      <c r="H24" t="s">
        <v>26</v>
      </c>
      <c r="I24">
        <f t="shared" si="0"/>
        <v>7.8E-2</v>
      </c>
      <c r="J24">
        <f t="shared" si="1"/>
        <v>3.9</v>
      </c>
    </row>
    <row r="25" spans="1:10">
      <c r="A25">
        <v>24</v>
      </c>
      <c r="B25" t="s">
        <v>8</v>
      </c>
      <c r="C25">
        <v>9</v>
      </c>
      <c r="E25" t="s">
        <v>20</v>
      </c>
      <c r="F25">
        <v>100</v>
      </c>
      <c r="G25">
        <v>1</v>
      </c>
      <c r="H25" t="s">
        <v>26</v>
      </c>
      <c r="I25">
        <f t="shared" si="0"/>
        <v>0.35099999999999998</v>
      </c>
      <c r="J25">
        <f t="shared" si="1"/>
        <v>3.9</v>
      </c>
    </row>
    <row r="26" spans="1:10">
      <c r="A26">
        <v>25</v>
      </c>
      <c r="B26" t="s">
        <v>7</v>
      </c>
      <c r="C26">
        <v>5</v>
      </c>
      <c r="E26" t="s">
        <v>20</v>
      </c>
      <c r="F26">
        <v>100</v>
      </c>
      <c r="G26">
        <v>1</v>
      </c>
      <c r="H26" t="s">
        <v>26</v>
      </c>
      <c r="I26">
        <f t="shared" si="0"/>
        <v>0.19500000000000001</v>
      </c>
      <c r="J26">
        <f t="shared" si="1"/>
        <v>3.9</v>
      </c>
    </row>
    <row r="27" spans="1:10">
      <c r="A27">
        <v>26</v>
      </c>
      <c r="B27" t="s">
        <v>32</v>
      </c>
      <c r="C27">
        <v>4</v>
      </c>
      <c r="E27" t="s">
        <v>20</v>
      </c>
      <c r="F27">
        <v>100</v>
      </c>
      <c r="G27">
        <v>1</v>
      </c>
      <c r="H27" t="s">
        <v>26</v>
      </c>
      <c r="I27">
        <f t="shared" si="0"/>
        <v>0.156</v>
      </c>
      <c r="J27">
        <f t="shared" si="1"/>
        <v>3.9</v>
      </c>
    </row>
    <row r="28" spans="1:10">
      <c r="A28">
        <v>27</v>
      </c>
      <c r="B28" t="s">
        <v>36</v>
      </c>
      <c r="C28">
        <v>1</v>
      </c>
      <c r="E28" t="s">
        <v>20</v>
      </c>
      <c r="F28">
        <v>100</v>
      </c>
      <c r="G28">
        <v>1</v>
      </c>
      <c r="H28" t="s">
        <v>26</v>
      </c>
      <c r="I28">
        <f t="shared" si="0"/>
        <v>3.9E-2</v>
      </c>
      <c r="J28">
        <f t="shared" si="1"/>
        <v>3.9</v>
      </c>
    </row>
    <row r="29" spans="1:10">
      <c r="A29">
        <v>28</v>
      </c>
      <c r="B29" t="s">
        <v>70</v>
      </c>
      <c r="C29">
        <v>3</v>
      </c>
      <c r="E29" t="s">
        <v>45</v>
      </c>
      <c r="F29">
        <v>5</v>
      </c>
      <c r="G29">
        <v>3</v>
      </c>
      <c r="H29" t="s">
        <v>26</v>
      </c>
      <c r="I29">
        <f t="shared" si="0"/>
        <v>7.02</v>
      </c>
      <c r="J29">
        <f t="shared" si="1"/>
        <v>11.7</v>
      </c>
    </row>
    <row r="30" spans="1:10">
      <c r="A30">
        <v>29</v>
      </c>
      <c r="B30" t="s">
        <v>71</v>
      </c>
      <c r="C30">
        <v>2</v>
      </c>
      <c r="E30" t="s">
        <v>20</v>
      </c>
      <c r="F30">
        <v>100</v>
      </c>
      <c r="G30">
        <v>1</v>
      </c>
      <c r="H30" t="s">
        <v>26</v>
      </c>
      <c r="I30">
        <f t="shared" si="0"/>
        <v>7.8E-2</v>
      </c>
      <c r="J30">
        <f t="shared" si="1"/>
        <v>3.9</v>
      </c>
    </row>
    <row r="31" spans="1:10">
      <c r="A31">
        <v>30</v>
      </c>
      <c r="B31" t="s">
        <v>72</v>
      </c>
      <c r="C31">
        <v>1</v>
      </c>
      <c r="E31" t="s">
        <v>73</v>
      </c>
      <c r="F31">
        <v>100</v>
      </c>
      <c r="G31">
        <v>1</v>
      </c>
      <c r="H31" t="s">
        <v>26</v>
      </c>
      <c r="I31">
        <f t="shared" si="0"/>
        <v>3.9E-2</v>
      </c>
      <c r="J31">
        <f t="shared" si="1"/>
        <v>3.9</v>
      </c>
    </row>
    <row r="32" spans="1:10">
      <c r="A32">
        <v>31</v>
      </c>
      <c r="B32" t="s">
        <v>74</v>
      </c>
      <c r="C32">
        <v>1</v>
      </c>
      <c r="E32" t="s">
        <v>20</v>
      </c>
      <c r="F32">
        <v>50</v>
      </c>
      <c r="G32">
        <v>6</v>
      </c>
      <c r="H32" t="s">
        <v>26</v>
      </c>
      <c r="I32">
        <f t="shared" si="0"/>
        <v>0.46799999999999997</v>
      </c>
      <c r="J32">
        <f t="shared" si="1"/>
        <v>23.4</v>
      </c>
    </row>
    <row r="33" spans="1:10">
      <c r="A33">
        <v>32</v>
      </c>
      <c r="B33" t="s">
        <v>46</v>
      </c>
      <c r="C33">
        <v>1</v>
      </c>
      <c r="E33" t="s">
        <v>47</v>
      </c>
      <c r="F33">
        <v>1</v>
      </c>
      <c r="G33">
        <v>16</v>
      </c>
      <c r="H33" t="s">
        <v>26</v>
      </c>
      <c r="I33">
        <f t="shared" ref="I33:I37" si="2">IF(OR(D33="DNP", F33=0, F33=""), "", C33 / F33 * IF(H33="CNY", G33*$M$1, G33))</f>
        <v>62.4</v>
      </c>
      <c r="J33">
        <f t="shared" ref="J33:J37" si="3">IF(OR(D33="DNP", F33=0, F33=""), "", CEILING(C33/F33,1)* IF(H33="CNY", G33*$M$1, G33))</f>
        <v>62.4</v>
      </c>
    </row>
    <row r="34" spans="1:10">
      <c r="A34">
        <v>33</v>
      </c>
      <c r="B34" t="s">
        <v>39</v>
      </c>
      <c r="C34">
        <v>1</v>
      </c>
      <c r="E34" t="s">
        <v>40</v>
      </c>
      <c r="F34">
        <v>1</v>
      </c>
      <c r="G34">
        <v>9</v>
      </c>
      <c r="H34" t="s">
        <v>26</v>
      </c>
      <c r="I34">
        <f t="shared" si="2"/>
        <v>35.1</v>
      </c>
      <c r="J34">
        <f t="shared" si="3"/>
        <v>35.1</v>
      </c>
    </row>
    <row r="35" spans="1:10">
      <c r="A35">
        <v>34</v>
      </c>
      <c r="B35" t="s">
        <v>75</v>
      </c>
      <c r="C35">
        <v>1</v>
      </c>
      <c r="E35" t="s">
        <v>76</v>
      </c>
      <c r="F35">
        <v>1</v>
      </c>
      <c r="G35">
        <v>11</v>
      </c>
      <c r="H35" t="s">
        <v>26</v>
      </c>
      <c r="I35">
        <f t="shared" si="2"/>
        <v>42.9</v>
      </c>
      <c r="J35">
        <f t="shared" si="3"/>
        <v>42.9</v>
      </c>
    </row>
    <row r="36" spans="1:10">
      <c r="A36">
        <v>35</v>
      </c>
      <c r="B36" t="s">
        <v>41</v>
      </c>
      <c r="C36">
        <v>1</v>
      </c>
      <c r="E36" t="s">
        <v>42</v>
      </c>
      <c r="F36">
        <v>1</v>
      </c>
      <c r="G36">
        <v>1.5</v>
      </c>
      <c r="H36" t="s">
        <v>26</v>
      </c>
      <c r="I36">
        <f t="shared" si="2"/>
        <v>5.85</v>
      </c>
      <c r="J36">
        <f t="shared" si="3"/>
        <v>5.85</v>
      </c>
    </row>
    <row r="37" spans="1:10">
      <c r="A37">
        <v>36</v>
      </c>
      <c r="B37" t="s">
        <v>37</v>
      </c>
      <c r="C37">
        <v>1</v>
      </c>
      <c r="E37" t="s">
        <v>38</v>
      </c>
      <c r="F37">
        <v>1</v>
      </c>
      <c r="G37">
        <v>1.5</v>
      </c>
      <c r="H37" t="s">
        <v>26</v>
      </c>
      <c r="I37">
        <f t="shared" si="2"/>
        <v>5.85</v>
      </c>
      <c r="J37">
        <f t="shared" si="3"/>
        <v>5.85</v>
      </c>
    </row>
    <row r="38" spans="1:10">
      <c r="A38">
        <v>37</v>
      </c>
      <c r="B38" t="s">
        <v>48</v>
      </c>
      <c r="C38">
        <v>1</v>
      </c>
      <c r="E38" t="s">
        <v>49</v>
      </c>
      <c r="F38">
        <v>1</v>
      </c>
      <c r="G38">
        <v>2</v>
      </c>
      <c r="H38" t="s">
        <v>26</v>
      </c>
      <c r="I38">
        <f t="shared" ref="I38:I40" si="4">IF(OR(D38="DNP", F38=0, F38=""), "", C38 / F38 * IF(H38="CNY", G38*$M$1, G38))</f>
        <v>7.8</v>
      </c>
      <c r="J38">
        <f t="shared" ref="J38:J40" si="5">IF(OR(D38="DNP", F38=0, F38=""), "", CEILING(C38/F38,1)* IF(H38="CNY", G38*$M$1, G38))</f>
        <v>7.8</v>
      </c>
    </row>
    <row r="39" spans="1:10">
      <c r="A39">
        <v>38</v>
      </c>
      <c r="B39" t="s">
        <v>50</v>
      </c>
      <c r="C39">
        <v>1</v>
      </c>
      <c r="D39" t="s">
        <v>14</v>
      </c>
      <c r="E39" t="s">
        <v>51</v>
      </c>
      <c r="F39">
        <v>1</v>
      </c>
      <c r="G39">
        <v>3</v>
      </c>
      <c r="H39" t="s">
        <v>26</v>
      </c>
      <c r="I39" t="str">
        <f t="shared" si="4"/>
        <v/>
      </c>
      <c r="J39" t="str">
        <f t="shared" si="5"/>
        <v/>
      </c>
    </row>
    <row r="40" spans="1:10">
      <c r="A40">
        <v>39</v>
      </c>
      <c r="B40" t="s">
        <v>77</v>
      </c>
      <c r="C40">
        <v>1</v>
      </c>
      <c r="F40">
        <v>10</v>
      </c>
      <c r="G40">
        <v>50</v>
      </c>
      <c r="H40" t="s">
        <v>26</v>
      </c>
      <c r="I40">
        <f t="shared" si="4"/>
        <v>19.5</v>
      </c>
      <c r="J40">
        <f t="shared" si="5"/>
        <v>195</v>
      </c>
    </row>
  </sheetData>
  <conditionalFormatting sqref="I47:J1048576 J41:J46 I1:J4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5:F31 G25:G30 F2:G24 F33:F40">
    <cfRule type="expression" dxfId="1" priority="2">
      <formula>$D2="DNP"</formula>
    </cfRule>
  </conditionalFormatting>
  <conditionalFormatting sqref="G31 G33:G40">
    <cfRule type="expression" dxfId="0" priority="1">
      <formula>$D31="DNP"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Tien Manh 20236232</dc:creator>
  <cp:lastModifiedBy>Ti Mạnh</cp:lastModifiedBy>
  <dcterms:created xsi:type="dcterms:W3CDTF">2025-01-03T11:16:08Z</dcterms:created>
  <dcterms:modified xsi:type="dcterms:W3CDTF">2025-12-08T05:23:55Z</dcterms:modified>
</cp:coreProperties>
</file>